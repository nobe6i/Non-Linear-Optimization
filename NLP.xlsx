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y5794\Dropbox\BAN 630\Lectures\"/>
    </mc:Choice>
  </mc:AlternateContent>
  <xr:revisionPtr revIDLastSave="0" documentId="13_ncr:1_{01912137-889D-4BDC-AF61-BF6FE9797788}" xr6:coauthVersionLast="47" xr6:coauthVersionMax="47" xr10:uidLastSave="{00000000-0000-0000-0000-000000000000}"/>
  <bookViews>
    <workbookView xWindow="20" yWindow="20" windowWidth="19180" windowHeight="11260" activeTab="2" xr2:uid="{00000000-000D-0000-FFFF-FFFF00000000}"/>
  </bookViews>
  <sheets>
    <sheet name="Suits" sheetId="1" r:id="rId1"/>
    <sheet name="Pickens" sheetId="2" r:id="rId2"/>
    <sheet name="Warehou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  <c r="E5" i="3"/>
  <c r="C7" i="2"/>
  <c r="D5" i="2"/>
  <c r="D4" i="2"/>
  <c r="D3" i="2"/>
</calcChain>
</file>

<file path=xl/sharedStrings.xml><?xml version="1.0" encoding="utf-8"?>
<sst xmlns="http://schemas.openxmlformats.org/spreadsheetml/2006/main" count="33" uniqueCount="33">
  <si>
    <t>Historical Data for Prices and Demand for Sullivan's Suits</t>
  </si>
  <si>
    <t>Period</t>
  </si>
  <si>
    <t>Price</t>
  </si>
  <si>
    <t>Demand</t>
  </si>
  <si>
    <t>Pickens Memorial Hospital</t>
  </si>
  <si>
    <t>Decisions</t>
  </si>
  <si>
    <t>Value</t>
  </si>
  <si>
    <t xml:space="preserve">Income Contribution </t>
  </si>
  <si>
    <t>Total  Capacity per Patient Category</t>
  </si>
  <si>
    <t>Number of scannings per Patient</t>
  </si>
  <si>
    <t>Number of Surgical  Procedures per Patient</t>
  </si>
  <si>
    <t>Number of Lab Tests per Patient</t>
  </si>
  <si>
    <t>Medical patients</t>
  </si>
  <si>
    <t>M =</t>
  </si>
  <si>
    <t>Surgical patients</t>
  </si>
  <si>
    <t xml:space="preserve">S = </t>
  </si>
  <si>
    <t>Pediatric patients</t>
  </si>
  <si>
    <t xml:space="preserve">P = </t>
  </si>
  <si>
    <t>Total resource availability</t>
  </si>
  <si>
    <t>Time required per lab test (in hours)</t>
  </si>
  <si>
    <t xml:space="preserve">W-Mart Warehouse Location </t>
  </si>
  <si>
    <t>Inputs</t>
  </si>
  <si>
    <t>Retail Stores</t>
  </si>
  <si>
    <t>X-coord., miles</t>
  </si>
  <si>
    <t>Y-coord., miles</t>
  </si>
  <si>
    <t>Number of Annual Shipments</t>
  </si>
  <si>
    <t xml:space="preserve"> Distance from Warehouse to Stores, miles</t>
  </si>
  <si>
    <t>Store 1</t>
  </si>
  <si>
    <t>Store 2</t>
  </si>
  <si>
    <t>Store 3</t>
  </si>
  <si>
    <t>Store 4</t>
  </si>
  <si>
    <t>Store 5</t>
  </si>
  <si>
    <t>Store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</si>
</sst>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0000FF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6" fillId="0" borderId="0" xfId="1" applyFont="1"/>
    <xf numFmtId="0" fontId="1" fillId="0" borderId="0" xfId="1"/>
    <xf numFmtId="0" fontId="7" fillId="0" borderId="1" xfId="1" applyFont="1" applyBorder="1" applyAlignment="1">
      <alignment horizontal="left"/>
    </xf>
    <xf numFmtId="0" fontId="8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wrapText="1"/>
    </xf>
    <xf numFmtId="0" fontId="9" fillId="0" borderId="1" xfId="1" applyFont="1" applyBorder="1"/>
    <xf numFmtId="0" fontId="9" fillId="0" borderId="1" xfId="1" applyFont="1" applyBorder="1" applyAlignment="1">
      <alignment horizontal="center"/>
    </xf>
    <xf numFmtId="165" fontId="10" fillId="2" borderId="1" xfId="1" applyNumberFormat="1" applyFont="1" applyFill="1" applyBorder="1" applyAlignment="1">
      <alignment horizontal="center"/>
    </xf>
    <xf numFmtId="2" fontId="9" fillId="3" borderId="1" xfId="1" applyNumberFormat="1" applyFont="1" applyFill="1" applyBorder="1" applyAlignment="1">
      <alignment horizontal="center"/>
    </xf>
    <xf numFmtId="1" fontId="9" fillId="3" borderId="1" xfId="1" applyNumberFormat="1" applyFont="1" applyFill="1" applyBorder="1" applyAlignment="1">
      <alignment horizontal="center"/>
    </xf>
    <xf numFmtId="165" fontId="9" fillId="3" borderId="1" xfId="1" applyNumberFormat="1" applyFont="1" applyFill="1" applyBorder="1" applyAlignment="1">
      <alignment horizontal="center"/>
    </xf>
    <xf numFmtId="0" fontId="9" fillId="0" borderId="1" xfId="1" applyFont="1" applyBorder="1" applyAlignment="1">
      <alignment horizontal="right"/>
    </xf>
    <xf numFmtId="166" fontId="10" fillId="0" borderId="1" xfId="1" applyNumberFormat="1" applyFont="1" applyBorder="1" applyAlignment="1">
      <alignment horizontal="center"/>
    </xf>
    <xf numFmtId="2" fontId="9" fillId="0" borderId="1" xfId="1" applyNumberFormat="1" applyFont="1" applyBorder="1" applyAlignment="1">
      <alignment horizontal="center"/>
    </xf>
    <xf numFmtId="0" fontId="1" fillId="0" borderId="1" xfId="1" applyBorder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C63848F1-4C03-4263-81A9-00195DEB2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F10" sqref="F10"/>
    </sheetView>
  </sheetViews>
  <sheetFormatPr defaultRowHeight="14.5" x14ac:dyDescent="0.35"/>
  <sheetData>
    <row r="1" spans="1:4" x14ac:dyDescent="0.35">
      <c r="A1" s="1" t="s">
        <v>0</v>
      </c>
      <c r="B1" s="2"/>
      <c r="C1" s="2"/>
      <c r="D1" s="2"/>
    </row>
    <row r="2" spans="1:4" x14ac:dyDescent="0.35">
      <c r="A2" s="2"/>
      <c r="B2" s="2"/>
      <c r="C2" s="2"/>
      <c r="D2" s="2"/>
    </row>
    <row r="3" spans="1:4" x14ac:dyDescent="0.35">
      <c r="A3" s="3" t="s">
        <v>1</v>
      </c>
      <c r="B3" s="3" t="s">
        <v>2</v>
      </c>
      <c r="C3" s="3" t="s">
        <v>3</v>
      </c>
      <c r="D3" s="2"/>
    </row>
    <row r="4" spans="1:4" x14ac:dyDescent="0.35">
      <c r="A4" s="4">
        <v>1</v>
      </c>
      <c r="B4" s="5">
        <v>360</v>
      </c>
      <c r="C4" s="4">
        <v>284</v>
      </c>
      <c r="D4" s="2"/>
    </row>
    <row r="5" spans="1:4" x14ac:dyDescent="0.35">
      <c r="A5" s="4">
        <v>2</v>
      </c>
      <c r="B5" s="5">
        <v>340</v>
      </c>
      <c r="C5" s="4">
        <v>320</v>
      </c>
      <c r="D5" s="2"/>
    </row>
    <row r="6" spans="1:4" x14ac:dyDescent="0.35">
      <c r="A6" s="4">
        <v>3</v>
      </c>
      <c r="B6" s="5">
        <v>380</v>
      </c>
      <c r="C6" s="4">
        <v>251</v>
      </c>
      <c r="D6" s="2"/>
    </row>
    <row r="7" spans="1:4" x14ac:dyDescent="0.35">
      <c r="A7" s="4">
        <v>4</v>
      </c>
      <c r="B7" s="5">
        <v>410</v>
      </c>
      <c r="C7" s="4">
        <v>199</v>
      </c>
      <c r="D7" s="2"/>
    </row>
    <row r="8" spans="1:4" x14ac:dyDescent="0.35">
      <c r="A8" s="4">
        <v>5</v>
      </c>
      <c r="B8" s="5">
        <v>320</v>
      </c>
      <c r="C8" s="4">
        <v>385</v>
      </c>
      <c r="D8" s="2"/>
    </row>
    <row r="9" spans="1:4" x14ac:dyDescent="0.35">
      <c r="A9" s="4">
        <v>6</v>
      </c>
      <c r="B9" s="5">
        <v>350</v>
      </c>
      <c r="C9" s="4">
        <v>298</v>
      </c>
      <c r="D9" s="2"/>
    </row>
    <row r="10" spans="1:4" x14ac:dyDescent="0.35">
      <c r="A10" s="4">
        <v>7</v>
      </c>
      <c r="B10" s="5">
        <v>400</v>
      </c>
      <c r="C10" s="4">
        <v>217</v>
      </c>
      <c r="D10" s="2"/>
    </row>
    <row r="11" spans="1:4" x14ac:dyDescent="0.35">
      <c r="A11" s="4">
        <v>8</v>
      </c>
      <c r="B11" s="5">
        <v>370</v>
      </c>
      <c r="C11" s="4">
        <v>256</v>
      </c>
      <c r="D11" s="2"/>
    </row>
    <row r="12" spans="1:4" x14ac:dyDescent="0.35">
      <c r="A12" s="4">
        <v>9</v>
      </c>
      <c r="B12" s="5">
        <v>340</v>
      </c>
      <c r="C12" s="4">
        <v>320</v>
      </c>
      <c r="D12" s="2"/>
    </row>
    <row r="13" spans="1:4" x14ac:dyDescent="0.35">
      <c r="A13" s="4">
        <v>10</v>
      </c>
      <c r="B13" s="5">
        <v>450</v>
      </c>
      <c r="C13" s="4">
        <v>168</v>
      </c>
      <c r="D13" s="2"/>
    </row>
    <row r="14" spans="1:4" x14ac:dyDescent="0.35">
      <c r="A14" s="4">
        <v>11</v>
      </c>
      <c r="B14" s="5">
        <v>400</v>
      </c>
      <c r="C14" s="4">
        <v>214</v>
      </c>
      <c r="D14" s="2"/>
    </row>
    <row r="15" spans="1:4" x14ac:dyDescent="0.35">
      <c r="A15" s="4">
        <v>12</v>
      </c>
      <c r="B15" s="5">
        <v>380</v>
      </c>
      <c r="C15" s="4">
        <v>243</v>
      </c>
      <c r="D15" s="2"/>
    </row>
    <row r="16" spans="1:4" x14ac:dyDescent="0.35">
      <c r="A16" s="4">
        <v>13</v>
      </c>
      <c r="B16" s="5">
        <v>370</v>
      </c>
      <c r="C16" s="4">
        <v>269</v>
      </c>
      <c r="D16" s="2"/>
    </row>
    <row r="17" spans="1:4" x14ac:dyDescent="0.35">
      <c r="A17" s="4">
        <v>14</v>
      </c>
      <c r="B17" s="5">
        <v>315</v>
      </c>
      <c r="C17" s="4">
        <v>420</v>
      </c>
      <c r="D17" s="2"/>
    </row>
    <row r="18" spans="1:4" x14ac:dyDescent="0.35">
      <c r="A18" s="4">
        <v>15</v>
      </c>
      <c r="B18" s="5">
        <v>340</v>
      </c>
      <c r="C18" s="4">
        <v>328</v>
      </c>
      <c r="D18" s="2"/>
    </row>
    <row r="19" spans="1:4" x14ac:dyDescent="0.35">
      <c r="A19" s="4">
        <v>16</v>
      </c>
      <c r="B19" s="5">
        <v>325</v>
      </c>
      <c r="C19" s="4">
        <v>390</v>
      </c>
      <c r="D19" s="2"/>
    </row>
    <row r="20" spans="1:4" x14ac:dyDescent="0.35">
      <c r="A20" s="4">
        <v>17</v>
      </c>
      <c r="B20" s="5">
        <v>370</v>
      </c>
      <c r="C20" s="4">
        <v>266</v>
      </c>
      <c r="D20" s="2"/>
    </row>
    <row r="21" spans="1:4" x14ac:dyDescent="0.35">
      <c r="A21" s="4">
        <v>18</v>
      </c>
      <c r="B21" s="5">
        <v>380</v>
      </c>
      <c r="C21" s="4">
        <v>236</v>
      </c>
      <c r="D21" s="2"/>
    </row>
    <row r="22" spans="1:4" x14ac:dyDescent="0.35">
      <c r="A22" s="4">
        <v>19</v>
      </c>
      <c r="B22" s="5">
        <v>400</v>
      </c>
      <c r="C22" s="4">
        <v>209</v>
      </c>
      <c r="D22" s="2"/>
    </row>
    <row r="23" spans="1:4" x14ac:dyDescent="0.35">
      <c r="A23" s="4">
        <v>20</v>
      </c>
      <c r="B23" s="5">
        <v>385</v>
      </c>
      <c r="C23" s="4">
        <v>232</v>
      </c>
      <c r="D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B9E8-B6F2-44A6-8047-5219A862591A}">
  <dimension ref="A1:H7"/>
  <sheetViews>
    <sheetView workbookViewId="0">
      <selection activeCell="C7" sqref="C7"/>
    </sheetView>
  </sheetViews>
  <sheetFormatPr defaultRowHeight="14.5" x14ac:dyDescent="0.35"/>
  <sheetData>
    <row r="1" spans="1:8" x14ac:dyDescent="0.35">
      <c r="A1" s="6" t="s">
        <v>4</v>
      </c>
      <c r="B1" s="7"/>
      <c r="C1" s="7"/>
      <c r="D1" s="7"/>
      <c r="E1" s="7"/>
      <c r="F1" s="7"/>
      <c r="G1" s="7"/>
      <c r="H1" s="7"/>
    </row>
    <row r="2" spans="1:8" ht="78.5" x14ac:dyDescent="0.35">
      <c r="A2" s="8" t="s">
        <v>5</v>
      </c>
      <c r="B2" s="9"/>
      <c r="C2" s="10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</row>
    <row r="3" spans="1:8" x14ac:dyDescent="0.35">
      <c r="A3" s="12" t="s">
        <v>12</v>
      </c>
      <c r="B3" s="13" t="s">
        <v>13</v>
      </c>
      <c r="C3" s="14">
        <v>1</v>
      </c>
      <c r="D3" s="15">
        <f>120+8*C3</f>
        <v>128</v>
      </c>
      <c r="E3" s="16">
        <v>100</v>
      </c>
      <c r="F3" s="16">
        <v>1</v>
      </c>
      <c r="G3" s="15"/>
      <c r="H3" s="16">
        <v>2</v>
      </c>
    </row>
    <row r="4" spans="1:8" x14ac:dyDescent="0.35">
      <c r="A4" s="12" t="s">
        <v>14</v>
      </c>
      <c r="B4" s="13" t="s">
        <v>15</v>
      </c>
      <c r="C4" s="14">
        <v>1</v>
      </c>
      <c r="D4" s="15">
        <f>200+10*C4+3*C3</f>
        <v>213</v>
      </c>
      <c r="E4" s="16">
        <v>80</v>
      </c>
      <c r="F4" s="16">
        <v>3</v>
      </c>
      <c r="G4" s="15">
        <v>1.1499999999999999</v>
      </c>
      <c r="H4" s="17">
        <v>2.5</v>
      </c>
    </row>
    <row r="5" spans="1:8" x14ac:dyDescent="0.35">
      <c r="A5" s="12" t="s">
        <v>16</v>
      </c>
      <c r="B5" s="13" t="s">
        <v>17</v>
      </c>
      <c r="C5" s="14">
        <v>1</v>
      </c>
      <c r="D5" s="15">
        <f>95+9*C5</f>
        <v>104</v>
      </c>
      <c r="E5" s="16">
        <v>60</v>
      </c>
      <c r="F5" s="16">
        <v>2</v>
      </c>
      <c r="G5" s="15"/>
      <c r="H5" s="16">
        <v>2</v>
      </c>
    </row>
    <row r="6" spans="1:8" x14ac:dyDescent="0.35">
      <c r="A6" s="12" t="s">
        <v>18</v>
      </c>
      <c r="B6" s="18"/>
      <c r="C6" s="19"/>
      <c r="D6" s="20"/>
      <c r="E6" s="20"/>
      <c r="F6" s="16">
        <v>420</v>
      </c>
      <c r="G6" s="16">
        <v>90</v>
      </c>
      <c r="H6" s="16">
        <v>1150</v>
      </c>
    </row>
    <row r="7" spans="1:8" x14ac:dyDescent="0.35">
      <c r="A7" s="12" t="s">
        <v>19</v>
      </c>
      <c r="B7" s="18"/>
      <c r="C7" s="15">
        <f>2+0.001*(C3+C4+C5)</f>
        <v>2.0030000000000001</v>
      </c>
      <c r="D7" s="20"/>
      <c r="E7" s="20"/>
      <c r="F7" s="20"/>
      <c r="G7" s="20"/>
      <c r="H7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1E1C-7321-4F9E-BA12-B746BA208642}">
  <dimension ref="A1:E10"/>
  <sheetViews>
    <sheetView tabSelected="1" workbookViewId="0">
      <selection activeCell="H6" sqref="H6"/>
    </sheetView>
  </sheetViews>
  <sheetFormatPr defaultRowHeight="14.5" x14ac:dyDescent="0.35"/>
  <sheetData>
    <row r="1" spans="1:5" x14ac:dyDescent="0.35">
      <c r="A1" s="22" t="s">
        <v>20</v>
      </c>
    </row>
    <row r="2" spans="1:5" x14ac:dyDescent="0.35">
      <c r="A2" s="22"/>
    </row>
    <row r="3" spans="1:5" x14ac:dyDescent="0.35">
      <c r="A3" s="23" t="s">
        <v>21</v>
      </c>
      <c r="B3" s="24"/>
      <c r="C3" s="24"/>
      <c r="D3" s="24"/>
      <c r="E3" s="24"/>
    </row>
    <row r="4" spans="1:5" ht="91.5" x14ac:dyDescent="0.35">
      <c r="A4" s="25" t="s">
        <v>22</v>
      </c>
      <c r="B4" s="25" t="s">
        <v>23</v>
      </c>
      <c r="C4" s="25" t="s">
        <v>24</v>
      </c>
      <c r="D4" s="25" t="s">
        <v>25</v>
      </c>
      <c r="E4" s="25" t="s">
        <v>26</v>
      </c>
    </row>
    <row r="5" spans="1:5" x14ac:dyDescent="0.35">
      <c r="A5" s="26" t="s">
        <v>27</v>
      </c>
      <c r="B5" s="27">
        <v>5</v>
      </c>
      <c r="C5" s="27">
        <v>10</v>
      </c>
      <c r="D5" s="27">
        <v>180</v>
      </c>
      <c r="E5" s="28">
        <f>SQRT(($B$14-B5)^2+($C$14-C5)^2)</f>
        <v>11.180339887498949</v>
      </c>
    </row>
    <row r="6" spans="1:5" x14ac:dyDescent="0.35">
      <c r="A6" s="26" t="s">
        <v>28</v>
      </c>
      <c r="B6" s="27">
        <v>10</v>
      </c>
      <c r="C6" s="27">
        <v>5</v>
      </c>
      <c r="D6" s="27">
        <v>300</v>
      </c>
      <c r="E6" s="28">
        <f t="shared" ref="E6:E10" si="0">SQRT(($B$14-B6)^2+($C$14-C6)^2)</f>
        <v>11.180339887498949</v>
      </c>
    </row>
    <row r="7" spans="1:5" x14ac:dyDescent="0.35">
      <c r="A7" s="26" t="s">
        <v>29</v>
      </c>
      <c r="B7" s="27">
        <v>0</v>
      </c>
      <c r="C7" s="27">
        <v>12</v>
      </c>
      <c r="D7" s="27">
        <v>200</v>
      </c>
      <c r="E7" s="28">
        <f t="shared" si="0"/>
        <v>12</v>
      </c>
    </row>
    <row r="8" spans="1:5" x14ac:dyDescent="0.35">
      <c r="A8" s="26" t="s">
        <v>30</v>
      </c>
      <c r="B8" s="27">
        <v>12</v>
      </c>
      <c r="C8" s="27">
        <v>2</v>
      </c>
      <c r="D8" s="27">
        <v>400</v>
      </c>
      <c r="E8" s="28">
        <f t="shared" si="0"/>
        <v>12.165525060596439</v>
      </c>
    </row>
    <row r="9" spans="1:5" x14ac:dyDescent="0.35">
      <c r="A9" s="26" t="s">
        <v>31</v>
      </c>
      <c r="B9" s="27">
        <v>8</v>
      </c>
      <c r="C9" s="27">
        <v>11</v>
      </c>
      <c r="D9" s="27">
        <v>290</v>
      </c>
      <c r="E9" s="28">
        <f t="shared" si="0"/>
        <v>13.601470508735444</v>
      </c>
    </row>
    <row r="10" spans="1:5" x14ac:dyDescent="0.35">
      <c r="A10" s="26" t="s">
        <v>32</v>
      </c>
      <c r="B10" s="27">
        <v>4</v>
      </c>
      <c r="C10" s="27">
        <v>6</v>
      </c>
      <c r="D10" s="27">
        <v>160</v>
      </c>
      <c r="E10" s="28">
        <f t="shared" si="0"/>
        <v>7.2111025509279782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Suits</vt:lpstr>
      <vt:lpstr>Pickens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Balaraman Rajan</dc:creator>
  <cp:lastModifiedBy>Balaraman Rajan</cp:lastModifiedBy>
  <dcterms:created xsi:type="dcterms:W3CDTF">2015-06-05T18:17:20Z</dcterms:created>
  <dcterms:modified xsi:type="dcterms:W3CDTF">2025-02-18T07:35:01Z</dcterms:modified>
</cp:coreProperties>
</file>